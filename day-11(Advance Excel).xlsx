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Data analytics\Excel\day-10\"/>
    </mc:Choice>
  </mc:AlternateContent>
  <xr:revisionPtr revIDLastSave="0" documentId="13_ncr:1_{372E54B4-8D09-456E-975E-82DF60255E7D}" xr6:coauthVersionLast="47" xr6:coauthVersionMax="47" xr10:uidLastSave="{00000000-0000-0000-0000-000000000000}"/>
  <bookViews>
    <workbookView xWindow="0" yWindow="360" windowWidth="23256" windowHeight="12456" activeTab="6" xr2:uid="{00000000-000D-0000-FFFF-FFFF00000000}"/>
  </bookViews>
  <sheets>
    <sheet name="orignal data" sheetId="12" r:id="rId1"/>
    <sheet name="HLOOKUP" sheetId="13" r:id="rId2"/>
    <sheet name="VLOOKUP" sheetId="14" r:id="rId3"/>
    <sheet name="INDEX" sheetId="15" r:id="rId4"/>
    <sheet name="MATCH" sheetId="16" r:id="rId5"/>
    <sheet name="Index-Match" sheetId="17" r:id="rId6"/>
    <sheet name="XLOOKUP" sheetId="18" r:id="rId7"/>
    <sheet name="Sheet1" sheetId="1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18" l="1"/>
  <c r="N9" i="18"/>
  <c r="D17" i="18" a="1"/>
  <c r="D17" i="18" s="1"/>
  <c r="D16" i="18" a="1"/>
  <c r="D16" i="18" s="1"/>
  <c r="D14" i="18" a="1"/>
  <c r="D14" i="18" s="1"/>
  <c r="J14" i="17" a="1"/>
  <c r="J14" i="17" s="1"/>
  <c r="F14" i="17"/>
  <c r="H14" i="17" s="1" a="1"/>
  <c r="H14" i="17" s="1"/>
  <c r="F13" i="17"/>
  <c r="E14" i="16"/>
  <c r="E17" i="16"/>
  <c r="H14" i="15"/>
  <c r="H15" i="15" a="1"/>
  <c r="H15" i="15" s="1"/>
  <c r="H9" i="13"/>
  <c r="K9" i="13"/>
  <c r="J9" i="13"/>
  <c r="G9" i="13"/>
  <c r="F9" i="13"/>
  <c r="E9" i="13"/>
  <c r="I9" i="13"/>
  <c r="D9" i="13"/>
  <c r="K7" i="13"/>
  <c r="J7" i="13"/>
  <c r="I7" i="13"/>
  <c r="H7" i="13"/>
  <c r="G7" i="13"/>
  <c r="F7" i="13"/>
  <c r="E7" i="13"/>
  <c r="D7" i="13"/>
  <c r="F8" i="14"/>
  <c r="F9" i="14"/>
  <c r="F10" i="14"/>
  <c r="F11" i="14"/>
  <c r="F12" i="14"/>
  <c r="F7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<sst xmlns="http://schemas.openxmlformats.org/spreadsheetml/2006/main" count="227" uniqueCount="40">
  <si>
    <t>location</t>
  </si>
  <si>
    <t>bedroom</t>
  </si>
  <si>
    <t>hall</t>
  </si>
  <si>
    <t>kitchen</t>
  </si>
  <si>
    <t>sq</t>
  </si>
  <si>
    <t>interior</t>
  </si>
  <si>
    <t>house type</t>
  </si>
  <si>
    <t>NAGPUR</t>
  </si>
  <si>
    <t>furnished</t>
  </si>
  <si>
    <t>Buglow</t>
  </si>
  <si>
    <t>price(CR)</t>
  </si>
  <si>
    <t>non furnished</t>
  </si>
  <si>
    <t>flat</t>
  </si>
  <si>
    <t>Mumbai</t>
  </si>
  <si>
    <t>semi-furnished</t>
  </si>
  <si>
    <t>row-house</t>
  </si>
  <si>
    <t>Pune</t>
  </si>
  <si>
    <t>ID</t>
  </si>
  <si>
    <t>Row no.</t>
  </si>
  <si>
    <t>col.no.</t>
  </si>
  <si>
    <t>op(cordinator)</t>
  </si>
  <si>
    <t>row_match</t>
  </si>
  <si>
    <t>col_match</t>
  </si>
  <si>
    <t>pid</t>
  </si>
  <si>
    <t>p1</t>
  </si>
  <si>
    <t>p2</t>
  </si>
  <si>
    <t>p3</t>
  </si>
  <si>
    <t>p4</t>
  </si>
  <si>
    <t>p5</t>
  </si>
  <si>
    <t>p6</t>
  </si>
  <si>
    <t>rowvalue</t>
  </si>
  <si>
    <t>rowindex</t>
  </si>
  <si>
    <t>col_index</t>
  </si>
  <si>
    <t>colvalue</t>
  </si>
  <si>
    <t>matchvalue</t>
  </si>
  <si>
    <t>normal xlookup</t>
  </si>
  <si>
    <t>first-to last</t>
  </si>
  <si>
    <t>last-to-first</t>
  </si>
  <si>
    <t>next smaller</t>
  </si>
  <si>
    <t>next larger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</si>
</sst>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1" fillId="5" borderId="1" xfId="0" applyFont="1" applyFill="1" applyBorder="1"/>
    <xf numFmtId="0" fontId="1" fillId="10" borderId="1" xfId="0" applyFont="1" applyFill="1" applyBorder="1"/>
    <xf numFmtId="0" fontId="0" fillId="11" borderId="0" xfId="0" applyFill="1"/>
    <xf numFmtId="0" fontId="1" fillId="0" borderId="0" xfId="0" applyFont="1"/>
    <xf numFmtId="0" fontId="1" fillId="7" borderId="0" xfId="0" applyFont="1" applyFill="1"/>
    <xf numFmtId="0" fontId="1" fillId="8" borderId="0" xfId="0" applyFont="1" applyFill="1"/>
    <xf numFmtId="0" fontId="1" fillId="6" borderId="0" xfId="0" applyFont="1" applyFill="1"/>
    <xf numFmtId="0" fontId="1" fillId="3" borderId="1" xfId="0" applyFont="1" applyFill="1" applyBorder="1"/>
    <xf numFmtId="0" fontId="0" fillId="2" borderId="0" xfId="0" applyFill="1"/>
    <xf numFmtId="0" fontId="1" fillId="12" borderId="0" xfId="0" applyFont="1" applyFill="1"/>
    <xf numFmtId="0" fontId="0" fillId="9" borderId="0" xfId="0" applyFill="1"/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54E11-EF2B-49E6-9E36-A6524368A67A}">
  <dimension ref="E4:L10"/>
  <sheetViews>
    <sheetView topLeftCell="C2" zoomScale="148" workbookViewId="0">
      <selection activeCell="E4" sqref="E4:L10"/>
    </sheetView>
  </sheetViews>
  <sheetFormatPr defaultRowHeight="14.4" x14ac:dyDescent="0.3"/>
  <cols>
    <col min="12" max="12" width="9.88671875" bestFit="1" customWidth="1"/>
  </cols>
  <sheetData>
    <row r="4" spans="5:12" x14ac:dyDescent="0.3">
      <c r="E4" s="2" t="s">
        <v>0</v>
      </c>
      <c r="F4" s="2" t="s">
        <v>10</v>
      </c>
      <c r="G4" s="2" t="s">
        <v>1</v>
      </c>
      <c r="H4" s="2" t="s">
        <v>2</v>
      </c>
      <c r="I4" s="2" t="s">
        <v>3</v>
      </c>
      <c r="J4" s="2" t="s">
        <v>4</v>
      </c>
      <c r="K4" s="2" t="s">
        <v>5</v>
      </c>
      <c r="L4" s="2" t="s">
        <v>6</v>
      </c>
    </row>
    <row r="5" spans="5:12" x14ac:dyDescent="0.3">
      <c r="E5" s="1" t="s">
        <v>7</v>
      </c>
      <c r="F5" s="1">
        <v>1.5</v>
      </c>
      <c r="G5" s="1">
        <v>2</v>
      </c>
      <c r="H5" s="1">
        <v>3</v>
      </c>
      <c r="I5" s="1">
        <v>2</v>
      </c>
      <c r="J5" s="1">
        <v>6000</v>
      </c>
      <c r="K5" s="1" t="s">
        <v>8</v>
      </c>
      <c r="L5" s="1" t="s">
        <v>9</v>
      </c>
    </row>
    <row r="6" spans="5:12" x14ac:dyDescent="0.3">
      <c r="E6" s="1" t="s">
        <v>7</v>
      </c>
      <c r="F6" s="1">
        <v>0.25</v>
      </c>
      <c r="G6" s="1">
        <v>1</v>
      </c>
      <c r="H6" s="1">
        <v>1</v>
      </c>
      <c r="I6" s="1">
        <v>1</v>
      </c>
      <c r="J6" s="1">
        <v>700</v>
      </c>
      <c r="K6" s="1" t="s">
        <v>11</v>
      </c>
      <c r="L6" s="1" t="s">
        <v>12</v>
      </c>
    </row>
    <row r="7" spans="5:12" x14ac:dyDescent="0.3">
      <c r="E7" s="1" t="s">
        <v>13</v>
      </c>
      <c r="F7" s="1">
        <v>0.7</v>
      </c>
      <c r="G7" s="1">
        <v>2</v>
      </c>
      <c r="H7" s="1">
        <v>1</v>
      </c>
      <c r="I7" s="1">
        <v>1</v>
      </c>
      <c r="J7" s="1">
        <v>1500</v>
      </c>
      <c r="K7" s="1" t="s">
        <v>14</v>
      </c>
      <c r="L7" s="1" t="s">
        <v>15</v>
      </c>
    </row>
    <row r="8" spans="5:12" x14ac:dyDescent="0.3">
      <c r="E8" s="1" t="s">
        <v>16</v>
      </c>
      <c r="F8" s="1">
        <v>1.6</v>
      </c>
      <c r="G8" s="1">
        <v>3</v>
      </c>
      <c r="H8" s="1">
        <v>2</v>
      </c>
      <c r="I8" s="1">
        <v>1</v>
      </c>
      <c r="J8" s="1">
        <v>2000</v>
      </c>
      <c r="K8" s="1" t="s">
        <v>11</v>
      </c>
      <c r="L8" s="1" t="s">
        <v>15</v>
      </c>
    </row>
    <row r="9" spans="5:12" x14ac:dyDescent="0.3">
      <c r="E9" s="1" t="s">
        <v>13</v>
      </c>
      <c r="F9" s="1">
        <v>1.9</v>
      </c>
      <c r="G9" s="1">
        <v>4</v>
      </c>
      <c r="H9" s="1">
        <v>2</v>
      </c>
      <c r="I9" s="1">
        <v>2</v>
      </c>
      <c r="J9" s="1">
        <v>5000</v>
      </c>
      <c r="K9" s="1" t="s">
        <v>8</v>
      </c>
      <c r="L9" s="1" t="s">
        <v>9</v>
      </c>
    </row>
    <row r="10" spans="5:12" x14ac:dyDescent="0.3">
      <c r="E10" s="1" t="s">
        <v>16</v>
      </c>
      <c r="F10" s="1">
        <v>2.7</v>
      </c>
      <c r="G10" s="1">
        <v>3</v>
      </c>
      <c r="H10" s="1">
        <v>2</v>
      </c>
      <c r="I10" s="1">
        <v>2</v>
      </c>
      <c r="J10" s="1">
        <v>7000</v>
      </c>
      <c r="K10" s="1" t="s">
        <v>11</v>
      </c>
      <c r="L10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7857C-B3A8-4153-BEB3-5EAD5E2A6D2B}">
  <dimension ref="D5:K16"/>
  <sheetViews>
    <sheetView topLeftCell="A3" zoomScale="167" workbookViewId="0">
      <selection activeCell="G17" sqref="G17"/>
    </sheetView>
  </sheetViews>
  <sheetFormatPr defaultRowHeight="14.4" x14ac:dyDescent="0.3"/>
  <cols>
    <col min="8" max="8" width="12.33203125" bestFit="1" customWidth="1"/>
    <col min="10" max="10" width="13.109375" bestFit="1" customWidth="1"/>
    <col min="11" max="11" width="9.88671875" bestFit="1" customWidth="1"/>
  </cols>
  <sheetData>
    <row r="5" spans="4:11" x14ac:dyDescent="0.3">
      <c r="D5" s="2" t="s">
        <v>0</v>
      </c>
      <c r="E5" s="2" t="s">
        <v>10</v>
      </c>
      <c r="F5" s="2" t="s">
        <v>1</v>
      </c>
      <c r="G5" s="2" t="s">
        <v>2</v>
      </c>
      <c r="H5" s="2" t="s">
        <v>3</v>
      </c>
      <c r="I5" s="2" t="s">
        <v>4</v>
      </c>
      <c r="J5" s="2" t="s">
        <v>5</v>
      </c>
      <c r="K5" s="2" t="s">
        <v>6</v>
      </c>
    </row>
    <row r="6" spans="4:11" x14ac:dyDescent="0.3">
      <c r="D6" s="1" t="s">
        <v>7</v>
      </c>
      <c r="E6" s="1">
        <v>1.5</v>
      </c>
      <c r="F6" s="1">
        <v>2</v>
      </c>
      <c r="G6" s="1">
        <v>3</v>
      </c>
      <c r="H6" s="1">
        <v>2</v>
      </c>
      <c r="I6" s="1">
        <v>6000</v>
      </c>
      <c r="J6" s="1" t="s">
        <v>8</v>
      </c>
      <c r="K6" s="1" t="s">
        <v>9</v>
      </c>
    </row>
    <row r="7" spans="4:11" x14ac:dyDescent="0.3">
      <c r="D7" t="str">
        <f>HLOOKUP(D14,$D$14:$K$15,2,)</f>
        <v>NAGPUR</v>
      </c>
      <c r="E7">
        <f>HLOOKUP(E14,$D$14:$K$15,2,)</f>
        <v>0.25</v>
      </c>
      <c r="F7">
        <f>HLOOKUP(K14,D14:K15,2,)</f>
        <v>1</v>
      </c>
      <c r="G7">
        <f>HLOOKUP(G14,D14:K15,2,)</f>
        <v>1</v>
      </c>
      <c r="H7">
        <f>HLOOKUP(F14,D14:K15,2,)</f>
        <v>1</v>
      </c>
      <c r="I7">
        <f>HLOOKUP(I14,D14:K15,2,)</f>
        <v>700</v>
      </c>
      <c r="J7" t="str">
        <f>HLOOKUP(H14,D14:K15,2,)</f>
        <v>non furnished</v>
      </c>
      <c r="K7" t="str">
        <f>HLOOKUP(J14,D14:K15,2,)</f>
        <v>flat</v>
      </c>
    </row>
    <row r="8" spans="4:11" x14ac:dyDescent="0.3">
      <c r="D8" s="1" t="s">
        <v>13</v>
      </c>
      <c r="E8" s="1">
        <v>0.7</v>
      </c>
      <c r="F8" s="1">
        <v>2</v>
      </c>
      <c r="G8" s="1">
        <v>1</v>
      </c>
      <c r="H8" s="1">
        <v>1</v>
      </c>
      <c r="I8" s="1">
        <v>1500</v>
      </c>
      <c r="J8" s="1" t="s">
        <v>14</v>
      </c>
      <c r="K8" s="1" t="s">
        <v>15</v>
      </c>
    </row>
    <row r="9" spans="4:11" x14ac:dyDescent="0.3">
      <c r="D9" s="1" t="str">
        <f>HLOOKUP(D14,$D$14:$K$16,3,)</f>
        <v>Pune</v>
      </c>
      <c r="E9" s="1">
        <f t="shared" ref="E9:I9" si="0">HLOOKUP(E14,$D$14:$K$16,3,)</f>
        <v>1.6</v>
      </c>
      <c r="F9" s="1">
        <f>HLOOKUP(K14,$D$14:$K$16,3,)</f>
        <v>3</v>
      </c>
      <c r="G9" s="1">
        <f>HLOOKUP(G14,$D$14:$K$16,3,)</f>
        <v>2</v>
      </c>
      <c r="H9" s="1">
        <f>HLOOKUP(F14,$D$14:$K$16,3,)</f>
        <v>1</v>
      </c>
      <c r="I9" s="1">
        <f t="shared" si="0"/>
        <v>2000</v>
      </c>
      <c r="J9" s="1" t="str">
        <f>HLOOKUP(H14,$D$14:$K$16,3,)</f>
        <v>non furnished</v>
      </c>
      <c r="K9" s="1" t="str">
        <f>HLOOKUP(J14,$D$14:$K$16,3,)</f>
        <v>row-house</v>
      </c>
    </row>
    <row r="10" spans="4:11" x14ac:dyDescent="0.3">
      <c r="D10" s="1" t="s">
        <v>13</v>
      </c>
      <c r="E10" s="1">
        <v>1.9</v>
      </c>
      <c r="F10" s="1">
        <v>4</v>
      </c>
      <c r="G10" s="1">
        <v>2</v>
      </c>
      <c r="H10" s="1">
        <v>2</v>
      </c>
      <c r="I10" s="1">
        <v>5000</v>
      </c>
      <c r="J10" s="1" t="s">
        <v>8</v>
      </c>
      <c r="K10" s="1" t="s">
        <v>9</v>
      </c>
    </row>
    <row r="11" spans="4:11" x14ac:dyDescent="0.3">
      <c r="D11" s="1" t="s">
        <v>16</v>
      </c>
      <c r="E11" s="1">
        <v>2.7</v>
      </c>
      <c r="F11" s="1">
        <v>3</v>
      </c>
      <c r="G11" s="1">
        <v>2</v>
      </c>
      <c r="H11" s="1">
        <v>2</v>
      </c>
      <c r="I11" s="1">
        <v>7000</v>
      </c>
      <c r="J11" s="1" t="s">
        <v>11</v>
      </c>
      <c r="K11" s="1" t="s">
        <v>12</v>
      </c>
    </row>
    <row r="14" spans="4:11" x14ac:dyDescent="0.3">
      <c r="D14" s="2" t="s">
        <v>0</v>
      </c>
      <c r="E14" s="2" t="s">
        <v>10</v>
      </c>
      <c r="F14" s="2" t="s">
        <v>3</v>
      </c>
      <c r="G14" s="2" t="s">
        <v>2</v>
      </c>
      <c r="H14" s="2" t="s">
        <v>5</v>
      </c>
      <c r="I14" s="2" t="s">
        <v>4</v>
      </c>
      <c r="J14" s="2" t="s">
        <v>6</v>
      </c>
      <c r="K14" s="2" t="s">
        <v>1</v>
      </c>
    </row>
    <row r="15" spans="4:11" x14ac:dyDescent="0.3">
      <c r="D15" s="1" t="s">
        <v>7</v>
      </c>
      <c r="E15" s="1">
        <v>0.25</v>
      </c>
      <c r="F15" s="1">
        <v>1</v>
      </c>
      <c r="G15" s="1">
        <v>1</v>
      </c>
      <c r="H15" s="1" t="s">
        <v>11</v>
      </c>
      <c r="I15" s="1">
        <v>700</v>
      </c>
      <c r="J15" s="1" t="s">
        <v>12</v>
      </c>
      <c r="K15" s="1">
        <v>1</v>
      </c>
    </row>
    <row r="16" spans="4:11" x14ac:dyDescent="0.3">
      <c r="D16" s="1" t="s">
        <v>16</v>
      </c>
      <c r="E16" s="1">
        <v>1.6</v>
      </c>
      <c r="F16" s="1">
        <v>1</v>
      </c>
      <c r="G16" s="1">
        <v>2</v>
      </c>
      <c r="H16" s="1" t="s">
        <v>11</v>
      </c>
      <c r="I16" s="1">
        <v>2000</v>
      </c>
      <c r="J16" s="1" t="s">
        <v>15</v>
      </c>
      <c r="K16" s="1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DC076-6C7E-4FFD-97B8-5F9EB8382219}">
  <dimension ref="B6:J25"/>
  <sheetViews>
    <sheetView zoomScale="144" workbookViewId="0">
      <selection activeCell="C6" sqref="C6:J12"/>
    </sheetView>
  </sheetViews>
  <sheetFormatPr defaultRowHeight="14.4" x14ac:dyDescent="0.3"/>
  <sheetData>
    <row r="6" spans="2:10" x14ac:dyDescent="0.3">
      <c r="B6" s="3" t="s">
        <v>17</v>
      </c>
      <c r="C6" s="2" t="s">
        <v>0</v>
      </c>
      <c r="D6" s="2" t="s">
        <v>10</v>
      </c>
      <c r="E6" s="2" t="s">
        <v>1</v>
      </c>
      <c r="F6" s="2" t="s">
        <v>2</v>
      </c>
      <c r="G6" s="2" t="s">
        <v>3</v>
      </c>
      <c r="H6" s="2" t="s">
        <v>4</v>
      </c>
      <c r="I6" s="2" t="s">
        <v>5</v>
      </c>
      <c r="J6" s="2" t="s">
        <v>6</v>
      </c>
    </row>
    <row r="7" spans="2:10" x14ac:dyDescent="0.3">
      <c r="B7" s="1">
        <v>1</v>
      </c>
      <c r="C7" s="1" t="s">
        <v>7</v>
      </c>
      <c r="D7" s="1">
        <v>1.5</v>
      </c>
      <c r="E7" s="1">
        <v>2</v>
      </c>
      <c r="F7" s="1">
        <f>VLOOKUP(B7,$C$16:$D$22,2,)</f>
        <v>3</v>
      </c>
      <c r="G7" s="1">
        <v>2</v>
      </c>
      <c r="H7" s="1">
        <v>6000</v>
      </c>
      <c r="I7" s="1" t="s">
        <v>8</v>
      </c>
      <c r="J7" s="1" t="s">
        <v>9</v>
      </c>
    </row>
    <row r="8" spans="2:10" x14ac:dyDescent="0.3">
      <c r="B8" s="1">
        <v>2</v>
      </c>
      <c r="C8" s="1" t="s">
        <v>7</v>
      </c>
      <c r="D8" s="1">
        <v>0.25</v>
      </c>
      <c r="E8" s="1">
        <v>1</v>
      </c>
      <c r="F8" s="1">
        <f>VLOOKUP(B8,$C$16:$D$22,2,)</f>
        <v>1</v>
      </c>
      <c r="G8" s="1">
        <v>1</v>
      </c>
      <c r="H8" s="1">
        <v>700</v>
      </c>
      <c r="I8" s="1" t="s">
        <v>11</v>
      </c>
      <c r="J8" s="1" t="s">
        <v>12</v>
      </c>
    </row>
    <row r="9" spans="2:10" x14ac:dyDescent="0.3">
      <c r="B9" s="1">
        <v>3</v>
      </c>
      <c r="C9" s="1" t="s">
        <v>13</v>
      </c>
      <c r="D9" s="1">
        <v>0.7</v>
      </c>
      <c r="E9" s="1">
        <v>2</v>
      </c>
      <c r="F9" s="1">
        <f t="shared" ref="F9:F12" si="0">VLOOKUP(B9,$C$16:$D$22,2,)</f>
        <v>1</v>
      </c>
      <c r="G9" s="1">
        <v>1</v>
      </c>
      <c r="H9" s="1">
        <v>1500</v>
      </c>
      <c r="I9" s="1" t="s">
        <v>14</v>
      </c>
      <c r="J9" s="1" t="s">
        <v>15</v>
      </c>
    </row>
    <row r="10" spans="2:10" x14ac:dyDescent="0.3">
      <c r="B10" s="1">
        <v>4</v>
      </c>
      <c r="C10" s="1" t="s">
        <v>16</v>
      </c>
      <c r="D10" s="1">
        <v>1.6</v>
      </c>
      <c r="E10" s="1">
        <v>3</v>
      </c>
      <c r="F10" s="1">
        <f t="shared" si="0"/>
        <v>2</v>
      </c>
      <c r="G10" s="1">
        <v>1</v>
      </c>
      <c r="H10" s="1">
        <v>2000</v>
      </c>
      <c r="I10" s="1" t="s">
        <v>11</v>
      </c>
      <c r="J10" s="1" t="s">
        <v>15</v>
      </c>
    </row>
    <row r="11" spans="2:10" x14ac:dyDescent="0.3">
      <c r="B11" s="1">
        <v>5</v>
      </c>
      <c r="C11" s="1" t="s">
        <v>13</v>
      </c>
      <c r="D11" s="1">
        <v>1.9</v>
      </c>
      <c r="E11" s="1">
        <v>4</v>
      </c>
      <c r="F11" s="1">
        <f t="shared" si="0"/>
        <v>2</v>
      </c>
      <c r="G11" s="1">
        <v>2</v>
      </c>
      <c r="H11" s="1">
        <v>5000</v>
      </c>
      <c r="I11" s="1" t="s">
        <v>8</v>
      </c>
      <c r="J11" s="1" t="s">
        <v>9</v>
      </c>
    </row>
    <row r="12" spans="2:10" x14ac:dyDescent="0.3">
      <c r="B12" s="1">
        <v>6</v>
      </c>
      <c r="C12" s="1" t="s">
        <v>16</v>
      </c>
      <c r="D12" s="1">
        <v>2.7</v>
      </c>
      <c r="E12" s="1">
        <v>3</v>
      </c>
      <c r="F12" s="1">
        <f t="shared" si="0"/>
        <v>2</v>
      </c>
      <c r="G12" s="1">
        <v>2</v>
      </c>
      <c r="H12" s="1">
        <v>7000</v>
      </c>
      <c r="I12" s="1" t="s">
        <v>11</v>
      </c>
      <c r="J12" s="1" t="s">
        <v>12</v>
      </c>
    </row>
    <row r="16" spans="2:10" x14ac:dyDescent="0.3">
      <c r="C16" s="3" t="s">
        <v>17</v>
      </c>
      <c r="D16" s="2" t="s">
        <v>2</v>
      </c>
    </row>
    <row r="17" spans="3:7" x14ac:dyDescent="0.3">
      <c r="C17" s="1">
        <v>3</v>
      </c>
      <c r="D17" s="1">
        <v>1</v>
      </c>
    </row>
    <row r="18" spans="3:7" x14ac:dyDescent="0.3">
      <c r="C18" s="1">
        <v>2</v>
      </c>
      <c r="D18" s="1">
        <v>1</v>
      </c>
      <c r="F18" s="1"/>
      <c r="G18" s="1"/>
    </row>
    <row r="19" spans="3:7" x14ac:dyDescent="0.3">
      <c r="C19" s="1">
        <v>1</v>
      </c>
      <c r="D19" s="1">
        <v>3</v>
      </c>
    </row>
    <row r="20" spans="3:7" x14ac:dyDescent="0.3">
      <c r="C20" s="1">
        <v>5</v>
      </c>
      <c r="D20" s="1">
        <v>2</v>
      </c>
      <c r="F20" s="1"/>
      <c r="G20" s="1"/>
    </row>
    <row r="21" spans="3:7" x14ac:dyDescent="0.3">
      <c r="C21" s="1">
        <v>6</v>
      </c>
      <c r="D21" s="1">
        <v>2</v>
      </c>
    </row>
    <row r="22" spans="3:7" x14ac:dyDescent="0.3">
      <c r="C22" s="1">
        <v>4</v>
      </c>
      <c r="D22" s="1">
        <v>2</v>
      </c>
      <c r="F22" s="1"/>
      <c r="G22" s="1"/>
    </row>
    <row r="24" spans="3:7" x14ac:dyDescent="0.3">
      <c r="F24" s="1"/>
      <c r="G24" s="1"/>
    </row>
    <row r="25" spans="3:7" x14ac:dyDescent="0.3">
      <c r="C25" s="1"/>
      <c r="D2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BEAF5-6608-42FD-AEA2-82978935780C}">
  <dimension ref="D4:L15"/>
  <sheetViews>
    <sheetView topLeftCell="A8" zoomScale="141" zoomScaleNormal="100" workbookViewId="0">
      <selection activeCell="D18" sqref="D18"/>
    </sheetView>
  </sheetViews>
  <sheetFormatPr defaultRowHeight="14.4" x14ac:dyDescent="0.3"/>
  <cols>
    <col min="8" max="8" width="13.21875" bestFit="1" customWidth="1"/>
    <col min="11" max="11" width="13.21875" bestFit="1" customWidth="1"/>
    <col min="12" max="12" width="9.88671875" bestFit="1" customWidth="1"/>
  </cols>
  <sheetData>
    <row r="4" spans="4:12" x14ac:dyDescent="0.3">
      <c r="E4" s="13">
        <v>1</v>
      </c>
      <c r="F4" s="13">
        <v>2</v>
      </c>
      <c r="G4" s="13">
        <v>3</v>
      </c>
      <c r="H4" s="16">
        <v>4</v>
      </c>
      <c r="I4" s="13">
        <v>5</v>
      </c>
      <c r="J4" s="13">
        <v>6</v>
      </c>
      <c r="K4" s="13">
        <v>7</v>
      </c>
      <c r="L4" s="13">
        <v>8</v>
      </c>
    </row>
    <row r="5" spans="4:12" x14ac:dyDescent="0.3">
      <c r="D5" s="13">
        <v>1</v>
      </c>
      <c r="E5" s="17" t="s">
        <v>0</v>
      </c>
      <c r="F5" s="17" t="s">
        <v>10</v>
      </c>
      <c r="G5" s="17" t="s">
        <v>1</v>
      </c>
      <c r="H5" s="17" t="s">
        <v>2</v>
      </c>
      <c r="I5" s="17" t="s">
        <v>3</v>
      </c>
      <c r="J5" s="17" t="s">
        <v>4</v>
      </c>
      <c r="K5" s="17" t="s">
        <v>5</v>
      </c>
      <c r="L5" s="17" t="s">
        <v>6</v>
      </c>
    </row>
    <row r="6" spans="4:12" x14ac:dyDescent="0.3">
      <c r="D6" s="13">
        <v>2</v>
      </c>
      <c r="E6" s="1" t="s">
        <v>7</v>
      </c>
      <c r="F6" s="1">
        <v>1.5</v>
      </c>
      <c r="G6" s="1">
        <v>2</v>
      </c>
      <c r="H6" s="6">
        <v>3</v>
      </c>
      <c r="I6" s="1">
        <v>2</v>
      </c>
      <c r="J6" s="1">
        <v>6000</v>
      </c>
      <c r="K6" s="8" t="s">
        <v>8</v>
      </c>
      <c r="L6" s="1" t="s">
        <v>9</v>
      </c>
    </row>
    <row r="7" spans="4:12" x14ac:dyDescent="0.3">
      <c r="D7" s="13">
        <v>3</v>
      </c>
      <c r="E7" s="1" t="s">
        <v>7</v>
      </c>
      <c r="F7" s="1">
        <v>0.25</v>
      </c>
      <c r="G7" s="1">
        <v>1</v>
      </c>
      <c r="H7" s="6">
        <v>1</v>
      </c>
      <c r="I7" s="1">
        <v>1</v>
      </c>
      <c r="J7" s="1">
        <v>700</v>
      </c>
      <c r="K7" s="8" t="s">
        <v>11</v>
      </c>
      <c r="L7" s="1" t="s">
        <v>12</v>
      </c>
    </row>
    <row r="8" spans="4:12" x14ac:dyDescent="0.3">
      <c r="D8" s="13">
        <v>4</v>
      </c>
      <c r="E8" s="1" t="s">
        <v>13</v>
      </c>
      <c r="F8" s="1">
        <v>0.7</v>
      </c>
      <c r="G8" s="1">
        <v>2</v>
      </c>
      <c r="H8" s="6">
        <v>1</v>
      </c>
      <c r="I8" s="1">
        <v>1</v>
      </c>
      <c r="J8" s="1">
        <v>1500</v>
      </c>
      <c r="K8" s="8" t="s">
        <v>14</v>
      </c>
      <c r="L8" s="1" t="s">
        <v>15</v>
      </c>
    </row>
    <row r="9" spans="4:12" x14ac:dyDescent="0.3">
      <c r="D9" s="14">
        <v>5</v>
      </c>
      <c r="E9" s="4" t="s">
        <v>16</v>
      </c>
      <c r="F9" s="4">
        <v>1.6</v>
      </c>
      <c r="G9" s="4">
        <v>3</v>
      </c>
      <c r="H9" s="10">
        <v>2</v>
      </c>
      <c r="I9" s="4">
        <v>1</v>
      </c>
      <c r="J9" s="4">
        <v>2000</v>
      </c>
      <c r="K9" s="8" t="s">
        <v>11</v>
      </c>
      <c r="L9" s="4" t="s">
        <v>15</v>
      </c>
    </row>
    <row r="10" spans="4:12" x14ac:dyDescent="0.3">
      <c r="D10" s="15">
        <v>6</v>
      </c>
      <c r="E10" s="7" t="s">
        <v>13</v>
      </c>
      <c r="F10" s="7">
        <v>1.9</v>
      </c>
      <c r="G10" s="7">
        <v>4</v>
      </c>
      <c r="H10" s="7">
        <v>2</v>
      </c>
      <c r="I10" s="7">
        <v>2</v>
      </c>
      <c r="J10" s="7">
        <v>5000</v>
      </c>
      <c r="K10" s="11" t="s">
        <v>8</v>
      </c>
      <c r="L10" s="7" t="s">
        <v>9</v>
      </c>
    </row>
    <row r="11" spans="4:12" x14ac:dyDescent="0.3">
      <c r="D11" s="13">
        <v>7</v>
      </c>
      <c r="E11" s="1" t="s">
        <v>16</v>
      </c>
      <c r="F11" s="1">
        <v>2.7</v>
      </c>
      <c r="G11" s="1">
        <v>3</v>
      </c>
      <c r="H11" s="6">
        <v>2</v>
      </c>
      <c r="I11" s="1">
        <v>2</v>
      </c>
      <c r="J11" s="1">
        <v>7000</v>
      </c>
      <c r="K11" s="8" t="s">
        <v>11</v>
      </c>
      <c r="L11" s="1" t="s">
        <v>12</v>
      </c>
    </row>
    <row r="12" spans="4:12" s="12" customFormat="1" x14ac:dyDescent="0.3"/>
    <row r="13" spans="4:12" x14ac:dyDescent="0.3">
      <c r="F13" t="s">
        <v>18</v>
      </c>
      <c r="G13" t="s">
        <v>19</v>
      </c>
      <c r="H13" t="s">
        <v>20</v>
      </c>
    </row>
    <row r="14" spans="4:12" x14ac:dyDescent="0.3">
      <c r="F14">
        <v>5</v>
      </c>
      <c r="G14">
        <v>4</v>
      </c>
      <c r="H14" s="5">
        <f>INDEX(E5:L11,5,4)</f>
        <v>2</v>
      </c>
    </row>
    <row r="15" spans="4:12" x14ac:dyDescent="0.3">
      <c r="F15">
        <v>6</v>
      </c>
      <c r="G15">
        <v>7</v>
      </c>
      <c r="H15" s="9" t="str" cm="1">
        <f t="array" ref="H15">INDEX(E5:L11,F15,G15)</f>
        <v>furnished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71DAF-5C1D-4EC7-9BB0-CD7F6D96D816}">
  <dimension ref="D4:K17"/>
  <sheetViews>
    <sheetView zoomScale="149" workbookViewId="0">
      <selection activeCell="E14" sqref="E14"/>
    </sheetView>
  </sheetViews>
  <sheetFormatPr defaultRowHeight="14.4" x14ac:dyDescent="0.3"/>
  <cols>
    <col min="4" max="4" width="10.33203125" bestFit="1" customWidth="1"/>
  </cols>
  <sheetData>
    <row r="4" spans="4:11" x14ac:dyDescent="0.3">
      <c r="D4" s="2" t="s">
        <v>0</v>
      </c>
      <c r="E4" s="2" t="s">
        <v>10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" t="s">
        <v>6</v>
      </c>
    </row>
    <row r="5" spans="4:11" x14ac:dyDescent="0.3">
      <c r="D5" s="1" t="s">
        <v>7</v>
      </c>
      <c r="E5" s="1">
        <v>1.5</v>
      </c>
      <c r="F5" s="1">
        <v>2</v>
      </c>
      <c r="G5" s="1">
        <v>3</v>
      </c>
      <c r="H5" s="1">
        <v>2</v>
      </c>
      <c r="I5" s="1">
        <v>6000</v>
      </c>
      <c r="J5" s="1" t="s">
        <v>8</v>
      </c>
      <c r="K5" s="1" t="s">
        <v>9</v>
      </c>
    </row>
    <row r="6" spans="4:11" x14ac:dyDescent="0.3">
      <c r="D6" s="1" t="s">
        <v>7</v>
      </c>
      <c r="E6" s="1">
        <v>0.25</v>
      </c>
      <c r="F6" s="1">
        <v>1</v>
      </c>
      <c r="G6" s="1">
        <v>1</v>
      </c>
      <c r="H6" s="1">
        <v>1</v>
      </c>
      <c r="I6" s="1">
        <v>700</v>
      </c>
      <c r="J6" s="1" t="s">
        <v>11</v>
      </c>
      <c r="K6" s="1" t="s">
        <v>12</v>
      </c>
    </row>
    <row r="7" spans="4:11" x14ac:dyDescent="0.3">
      <c r="D7" s="1" t="s">
        <v>13</v>
      </c>
      <c r="E7" s="1">
        <v>0.7</v>
      </c>
      <c r="F7" s="1">
        <v>2</v>
      </c>
      <c r="G7" s="1">
        <v>1</v>
      </c>
      <c r="H7" s="1">
        <v>1</v>
      </c>
      <c r="I7" s="1">
        <v>1500</v>
      </c>
      <c r="J7" s="1" t="s">
        <v>14</v>
      </c>
      <c r="K7" s="1" t="s">
        <v>15</v>
      </c>
    </row>
    <row r="8" spans="4:11" x14ac:dyDescent="0.3">
      <c r="D8" s="1" t="s">
        <v>16</v>
      </c>
      <c r="E8" s="1">
        <v>1.6</v>
      </c>
      <c r="F8" s="1">
        <v>3</v>
      </c>
      <c r="G8" s="1">
        <v>2</v>
      </c>
      <c r="H8" s="1">
        <v>1</v>
      </c>
      <c r="I8" s="1">
        <v>2000</v>
      </c>
      <c r="J8" s="1" t="s">
        <v>11</v>
      </c>
      <c r="K8" s="1" t="s">
        <v>15</v>
      </c>
    </row>
    <row r="9" spans="4:11" x14ac:dyDescent="0.3">
      <c r="D9" s="1" t="s">
        <v>13</v>
      </c>
      <c r="E9" s="1">
        <v>1.9</v>
      </c>
      <c r="F9" s="1">
        <v>4</v>
      </c>
      <c r="G9" s="1">
        <v>2</v>
      </c>
      <c r="H9" s="1">
        <v>2</v>
      </c>
      <c r="I9" s="1">
        <v>5000</v>
      </c>
      <c r="J9" s="1" t="s">
        <v>8</v>
      </c>
      <c r="K9" s="1" t="s">
        <v>9</v>
      </c>
    </row>
    <row r="10" spans="4:11" x14ac:dyDescent="0.3">
      <c r="D10" s="1" t="s">
        <v>16</v>
      </c>
      <c r="E10" s="1">
        <v>2.7</v>
      </c>
      <c r="F10" s="1">
        <v>3</v>
      </c>
      <c r="G10" s="1">
        <v>2</v>
      </c>
      <c r="H10" s="1">
        <v>2</v>
      </c>
      <c r="I10" s="1">
        <v>7000</v>
      </c>
      <c r="J10" s="1" t="s">
        <v>11</v>
      </c>
      <c r="K10" s="1" t="s">
        <v>12</v>
      </c>
    </row>
    <row r="13" spans="4:11" x14ac:dyDescent="0.3">
      <c r="D13" s="19" t="s">
        <v>21</v>
      </c>
    </row>
    <row r="14" spans="4:11" x14ac:dyDescent="0.3">
      <c r="D14">
        <v>1500</v>
      </c>
      <c r="E14">
        <f>MATCH(D14,I4:I10,)</f>
        <v>4</v>
      </c>
    </row>
    <row r="16" spans="4:11" x14ac:dyDescent="0.3">
      <c r="D16" s="19" t="s">
        <v>22</v>
      </c>
    </row>
    <row r="17" spans="4:5" x14ac:dyDescent="0.3">
      <c r="D17">
        <v>1500</v>
      </c>
      <c r="E17">
        <f>MATCH(D17,D7:K7,)</f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618DC-2588-4E7A-8C0D-CA74CE409193}">
  <dimension ref="C4:K14"/>
  <sheetViews>
    <sheetView topLeftCell="A2" zoomScale="140" workbookViewId="0">
      <selection activeCell="E18" sqref="E18"/>
    </sheetView>
  </sheetViews>
  <sheetFormatPr defaultRowHeight="14.4" x14ac:dyDescent="0.3"/>
  <cols>
    <col min="8" max="8" width="13.6640625" bestFit="1" customWidth="1"/>
    <col min="11" max="11" width="10.33203125" bestFit="1" customWidth="1"/>
  </cols>
  <sheetData>
    <row r="4" spans="3:11" x14ac:dyDescent="0.3">
      <c r="C4" s="2" t="s">
        <v>23</v>
      </c>
      <c r="D4" s="2" t="s">
        <v>0</v>
      </c>
      <c r="E4" s="2" t="s">
        <v>10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" t="s">
        <v>6</v>
      </c>
    </row>
    <row r="5" spans="3:11" x14ac:dyDescent="0.3">
      <c r="C5" s="1" t="s">
        <v>24</v>
      </c>
      <c r="D5" s="1" t="s">
        <v>7</v>
      </c>
      <c r="E5" s="1">
        <v>1.5</v>
      </c>
      <c r="F5" s="1">
        <v>2</v>
      </c>
      <c r="G5" s="1">
        <v>3</v>
      </c>
      <c r="H5" s="1">
        <v>2</v>
      </c>
      <c r="I5" s="1">
        <v>6000</v>
      </c>
      <c r="J5" s="1" t="s">
        <v>8</v>
      </c>
      <c r="K5" s="1" t="s">
        <v>9</v>
      </c>
    </row>
    <row r="6" spans="3:11" x14ac:dyDescent="0.3">
      <c r="C6" s="1" t="s">
        <v>25</v>
      </c>
      <c r="D6" s="1" t="s">
        <v>7</v>
      </c>
      <c r="E6" s="1">
        <v>0.25</v>
      </c>
      <c r="F6" s="1">
        <v>1</v>
      </c>
      <c r="G6" s="1">
        <v>1</v>
      </c>
      <c r="H6" s="1">
        <v>1</v>
      </c>
      <c r="I6" s="1">
        <v>700</v>
      </c>
      <c r="J6" s="1" t="s">
        <v>11</v>
      </c>
      <c r="K6" s="1" t="s">
        <v>12</v>
      </c>
    </row>
    <row r="7" spans="3:11" x14ac:dyDescent="0.3">
      <c r="C7" s="1" t="s">
        <v>26</v>
      </c>
      <c r="D7" s="1" t="s">
        <v>13</v>
      </c>
      <c r="E7" s="1">
        <v>0.7</v>
      </c>
      <c r="F7" s="1">
        <v>2</v>
      </c>
      <c r="G7" s="1">
        <v>1</v>
      </c>
      <c r="H7" s="1">
        <v>1</v>
      </c>
      <c r="I7" s="1">
        <v>1500</v>
      </c>
      <c r="J7" s="1" t="s">
        <v>14</v>
      </c>
      <c r="K7" s="1" t="s">
        <v>15</v>
      </c>
    </row>
    <row r="8" spans="3:11" x14ac:dyDescent="0.3">
      <c r="C8" s="1" t="s">
        <v>27</v>
      </c>
      <c r="D8" s="1" t="s">
        <v>16</v>
      </c>
      <c r="E8" s="1">
        <v>1.6</v>
      </c>
      <c r="F8" s="1">
        <v>3</v>
      </c>
      <c r="G8" s="1">
        <v>2</v>
      </c>
      <c r="H8" s="1">
        <v>1</v>
      </c>
      <c r="I8" s="1">
        <v>2000</v>
      </c>
      <c r="J8" s="1" t="s">
        <v>11</v>
      </c>
      <c r="K8" s="1" t="s">
        <v>15</v>
      </c>
    </row>
    <row r="9" spans="3:11" x14ac:dyDescent="0.3">
      <c r="C9" s="1" t="s">
        <v>28</v>
      </c>
      <c r="D9" s="1" t="s">
        <v>13</v>
      </c>
      <c r="E9" s="1">
        <v>1.9</v>
      </c>
      <c r="F9" s="1">
        <v>4</v>
      </c>
      <c r="G9" s="1">
        <v>2</v>
      </c>
      <c r="H9" s="1">
        <v>2</v>
      </c>
      <c r="I9" s="1">
        <v>5000</v>
      </c>
      <c r="J9" s="1" t="s">
        <v>8</v>
      </c>
      <c r="K9" s="1" t="s">
        <v>9</v>
      </c>
    </row>
    <row r="10" spans="3:11" x14ac:dyDescent="0.3">
      <c r="C10" s="1" t="s">
        <v>29</v>
      </c>
      <c r="D10" s="1" t="s">
        <v>16</v>
      </c>
      <c r="E10" s="1">
        <v>2.7</v>
      </c>
      <c r="F10" s="1">
        <v>3</v>
      </c>
      <c r="G10" s="1">
        <v>2</v>
      </c>
      <c r="H10" s="1">
        <v>2</v>
      </c>
      <c r="I10" s="1">
        <v>7000</v>
      </c>
      <c r="J10" s="1" t="s">
        <v>11</v>
      </c>
      <c r="K10" s="1" t="s">
        <v>12</v>
      </c>
    </row>
    <row r="13" spans="3:11" x14ac:dyDescent="0.3">
      <c r="C13" s="20" t="s">
        <v>30</v>
      </c>
      <c r="D13" s="18" t="s">
        <v>26</v>
      </c>
      <c r="E13" s="21" t="s">
        <v>31</v>
      </c>
      <c r="F13">
        <f>MATCH(C7,C4:C10,)</f>
        <v>4</v>
      </c>
      <c r="H13" t="s">
        <v>34</v>
      </c>
    </row>
    <row r="14" spans="3:11" x14ac:dyDescent="0.3">
      <c r="C14" s="20" t="s">
        <v>33</v>
      </c>
      <c r="D14" s="18" t="s">
        <v>5</v>
      </c>
      <c r="E14" s="21" t="s">
        <v>32</v>
      </c>
      <c r="F14">
        <f>MATCH(D14,C4:K4,)</f>
        <v>8</v>
      </c>
      <c r="H14" t="str" cm="1">
        <f t="array" ref="H14">INDEX(C4:K10,F13,F14)</f>
        <v>semi-furnished</v>
      </c>
      <c r="J14" t="e" cm="1">
        <f t="array" ref="J14">INDEX(C4:K10,D14,0)</f>
        <v>#VALUE!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3A4D-0F2C-4F19-A6AD-80995B136323}">
  <dimension ref="B4:N17"/>
  <sheetViews>
    <sheetView tabSelected="1" topLeftCell="F1" zoomScale="139" workbookViewId="0">
      <selection activeCell="M14" sqref="M14"/>
    </sheetView>
  </sheetViews>
  <sheetFormatPr defaultRowHeight="14.4" x14ac:dyDescent="0.3"/>
  <cols>
    <col min="2" max="2" width="14.33203125" bestFit="1" customWidth="1"/>
    <col min="10" max="10" width="13.77734375" bestFit="1" customWidth="1"/>
    <col min="11" max="11" width="10.44140625" bestFit="1" customWidth="1"/>
    <col min="13" max="13" width="11.33203125" bestFit="1" customWidth="1"/>
  </cols>
  <sheetData>
    <row r="4" spans="2:14" x14ac:dyDescent="0.3">
      <c r="C4" s="2" t="s">
        <v>23</v>
      </c>
      <c r="D4" s="2" t="s">
        <v>0</v>
      </c>
      <c r="E4" s="2" t="s">
        <v>10</v>
      </c>
      <c r="F4" s="2" t="s">
        <v>1</v>
      </c>
      <c r="G4" s="2" t="s">
        <v>2</v>
      </c>
      <c r="H4" s="2" t="s">
        <v>3</v>
      </c>
      <c r="I4" s="2" t="s">
        <v>4</v>
      </c>
      <c r="J4" s="2" t="s">
        <v>5</v>
      </c>
      <c r="K4" s="2" t="s">
        <v>6</v>
      </c>
    </row>
    <row r="5" spans="2:14" x14ac:dyDescent="0.3">
      <c r="C5" s="1" t="s">
        <v>24</v>
      </c>
      <c r="D5" s="1" t="s">
        <v>7</v>
      </c>
      <c r="E5" s="1">
        <v>1.5</v>
      </c>
      <c r="F5" s="1">
        <v>2</v>
      </c>
      <c r="G5" s="1">
        <v>3</v>
      </c>
      <c r="H5" s="1">
        <v>2</v>
      </c>
      <c r="I5" s="1">
        <v>6000</v>
      </c>
      <c r="J5" s="1" t="s">
        <v>8</v>
      </c>
      <c r="K5" s="1" t="s">
        <v>9</v>
      </c>
    </row>
    <row r="6" spans="2:14" x14ac:dyDescent="0.3">
      <c r="C6" s="1" t="s">
        <v>25</v>
      </c>
      <c r="D6" s="1" t="s">
        <v>7</v>
      </c>
      <c r="E6" s="1">
        <v>0.25</v>
      </c>
      <c r="F6" s="1">
        <v>10</v>
      </c>
      <c r="G6" s="1">
        <v>1</v>
      </c>
      <c r="H6" s="1">
        <v>1</v>
      </c>
      <c r="I6" s="1">
        <v>700</v>
      </c>
      <c r="J6" s="1" t="s">
        <v>11</v>
      </c>
      <c r="K6" s="1" t="s">
        <v>12</v>
      </c>
      <c r="M6" s="19" t="s">
        <v>38</v>
      </c>
    </row>
    <row r="7" spans="2:14" x14ac:dyDescent="0.3">
      <c r="C7" s="1" t="s">
        <v>26</v>
      </c>
      <c r="D7" s="1" t="s">
        <v>13</v>
      </c>
      <c r="E7" s="1">
        <v>0.7</v>
      </c>
      <c r="F7" s="1">
        <v>2</v>
      </c>
      <c r="G7" s="1">
        <v>1</v>
      </c>
      <c r="H7" s="1">
        <v>1</v>
      </c>
      <c r="I7" s="1">
        <v>1500</v>
      </c>
      <c r="J7" s="1" t="s">
        <v>14</v>
      </c>
      <c r="K7" s="1" t="s">
        <v>15</v>
      </c>
      <c r="M7" s="1">
        <v>12</v>
      </c>
      <c r="N7" t="str">
        <f>_xlfn.XLOOKUP(M7,F4:F10,C4:C10,"0",-1)</f>
        <v>p2</v>
      </c>
    </row>
    <row r="8" spans="2:14" x14ac:dyDescent="0.3">
      <c r="C8" s="1" t="s">
        <v>27</v>
      </c>
      <c r="D8" s="1" t="s">
        <v>16</v>
      </c>
      <c r="E8" s="1">
        <v>1.6</v>
      </c>
      <c r="F8" s="1">
        <v>15</v>
      </c>
      <c r="G8" s="1">
        <v>2</v>
      </c>
      <c r="H8" s="1">
        <v>1</v>
      </c>
      <c r="I8" s="1">
        <v>2000</v>
      </c>
      <c r="J8" s="1" t="s">
        <v>11</v>
      </c>
      <c r="K8" s="1" t="s">
        <v>15</v>
      </c>
      <c r="M8" s="19" t="s">
        <v>39</v>
      </c>
    </row>
    <row r="9" spans="2:14" x14ac:dyDescent="0.3">
      <c r="C9" s="1" t="s">
        <v>28</v>
      </c>
      <c r="D9" s="1" t="s">
        <v>13</v>
      </c>
      <c r="E9" s="1">
        <v>1.9</v>
      </c>
      <c r="F9" s="1">
        <v>4</v>
      </c>
      <c r="G9" s="1">
        <v>2</v>
      </c>
      <c r="H9" s="1">
        <v>2</v>
      </c>
      <c r="I9" s="1">
        <v>5000</v>
      </c>
      <c r="J9" s="1" t="s">
        <v>8</v>
      </c>
      <c r="K9" s="1" t="s">
        <v>9</v>
      </c>
      <c r="M9" s="1">
        <v>26</v>
      </c>
      <c r="N9" t="str">
        <f>_xlfn.XLOOKUP(M9,F4:F10,C4:C10,"pid",1)</f>
        <v>pid</v>
      </c>
    </row>
    <row r="10" spans="2:14" x14ac:dyDescent="0.3">
      <c r="C10" s="1" t="s">
        <v>29</v>
      </c>
      <c r="D10" s="1" t="s">
        <v>16</v>
      </c>
      <c r="E10" s="1">
        <v>2.7</v>
      </c>
      <c r="F10" s="1">
        <v>25</v>
      </c>
      <c r="G10" s="1">
        <v>2</v>
      </c>
      <c r="H10" s="1">
        <v>2</v>
      </c>
      <c r="I10" s="1">
        <v>7000</v>
      </c>
      <c r="J10" s="1" t="s">
        <v>11</v>
      </c>
      <c r="K10" s="1" t="s">
        <v>12</v>
      </c>
    </row>
    <row r="14" spans="2:14" x14ac:dyDescent="0.3">
      <c r="B14" s="19" t="s">
        <v>35</v>
      </c>
      <c r="C14" s="1" t="s">
        <v>27</v>
      </c>
      <c r="D14" t="str" cm="1">
        <f t="array" ref="D14:K14">_xlfn.XLOOKUP(C14,C4:C10,D4:K10,"NO MATCH",)</f>
        <v>Pune</v>
      </c>
      <c r="E14">
        <v>1.6</v>
      </c>
      <c r="F14">
        <v>15</v>
      </c>
      <c r="G14">
        <v>2</v>
      </c>
      <c r="H14">
        <v>1</v>
      </c>
      <c r="I14">
        <v>2000</v>
      </c>
      <c r="J14" t="str">
        <v>non furnished</v>
      </c>
      <c r="K14" t="str">
        <v>row-house</v>
      </c>
    </row>
    <row r="16" spans="2:14" x14ac:dyDescent="0.3">
      <c r="B16" s="19" t="s">
        <v>36</v>
      </c>
      <c r="C16" s="1" t="s">
        <v>13</v>
      </c>
      <c r="D16" t="str" cm="1">
        <f t="array" ref="D16:L16">_xlfn.XLOOKUP(C16,D4:D10,C4:K10,"nhi mila2",0,1)</f>
        <v>p3</v>
      </c>
      <c r="E16" t="str">
        <v>Mumbai</v>
      </c>
      <c r="F16">
        <v>0.7</v>
      </c>
      <c r="G16">
        <v>2</v>
      </c>
      <c r="H16">
        <v>1</v>
      </c>
      <c r="I16">
        <v>1</v>
      </c>
      <c r="J16">
        <v>1500</v>
      </c>
      <c r="K16" t="str">
        <v>semi-furnished</v>
      </c>
      <c r="L16" t="str">
        <v>row-house</v>
      </c>
    </row>
    <row r="17" spans="2:12" x14ac:dyDescent="0.3">
      <c r="B17" s="19" t="s">
        <v>37</v>
      </c>
      <c r="C17" s="1" t="s">
        <v>13</v>
      </c>
      <c r="D17" t="str" cm="1">
        <f t="array" ref="D17:L17">_xlfn.XLOOKUP(C17,D4:D10,C4:K10,"nhi mila3",0,-1)</f>
        <v>p5</v>
      </c>
      <c r="E17" t="str">
        <v>Mumbai</v>
      </c>
      <c r="F17">
        <v>1.9</v>
      </c>
      <c r="G17">
        <v>4</v>
      </c>
      <c r="H17">
        <v>2</v>
      </c>
      <c r="I17">
        <v>2</v>
      </c>
      <c r="J17">
        <v>5000</v>
      </c>
      <c r="K17" t="str">
        <v>furnished</v>
      </c>
      <c r="L17" t="str">
        <v>Buglow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4978E-53DB-441B-9D84-6A6D21EEF5F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orignal data</vt:lpstr>
      <vt:lpstr>HLOOKUP</vt:lpstr>
      <vt:lpstr>VLOOKUP</vt:lpstr>
      <vt:lpstr>INDEX</vt:lpstr>
      <vt:lpstr>MATCH</vt:lpstr>
      <vt:lpstr>Index-Match</vt:lpstr>
      <vt:lpstr>XLOOKUP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rokade</dc:creator>
  <cp:lastModifiedBy>sakshipatne.123@outlook.com</cp:lastModifiedBy>
  <dcterms:created xsi:type="dcterms:W3CDTF">2015-06-05T18:17:20Z</dcterms:created>
  <dcterms:modified xsi:type="dcterms:W3CDTF">2025-11-10T10:22:21Z</dcterms:modified>
</cp:coreProperties>
</file>